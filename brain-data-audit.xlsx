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tems" sheetId="2" state="visible" r:id="rId2"/>
    <sheet xmlns:r="http://schemas.openxmlformats.org/officeDocument/2006/relationships" name="Connections" sheetId="3" state="visible" r:id="rId3"/>
    <sheet xmlns:r="http://schemas.openxmlformats.org/officeDocument/2006/relationships" name="Entities" sheetId="4" state="visible" r:id="rId4"/>
    <sheet xmlns:r="http://schemas.openxmlformats.org/officeDocument/2006/relationships" name="Ta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4"/>
    </font>
    <font>
      <name val="Arial"/>
      <i val="1"/>
      <sz val="10"/>
    </font>
    <font>
      <name val="Arial"/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5" fillId="5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66" customWidth="1" min="3" max="3"/>
  </cols>
  <sheetData>
    <row r="1">
      <c r="A1" s="1" t="inlineStr">
        <is>
          <t>Obsidian-X — brain data audit</t>
        </is>
      </c>
      <c r="B1" t="inlineStr"/>
      <c r="C1" t="inlineStr"/>
    </row>
    <row r="2">
      <c r="A2" s="2" t="inlineStr">
        <is>
          <t>Generated fresh from the LIVE database (not the 2026-08-02 backup).</t>
        </is>
      </c>
      <c r="B2" t="inlineStr"/>
      <c r="C2" t="inlineStr"/>
    </row>
    <row r="4">
      <c r="A4" s="3" t="inlineStr">
        <is>
          <t>measure</t>
        </is>
      </c>
      <c r="B4" s="3" t="inlineStr">
        <is>
          <t>value</t>
        </is>
      </c>
      <c r="C4" s="3" t="inlineStr">
        <is>
          <t>what it means</t>
        </is>
      </c>
    </row>
    <row r="5">
      <c r="A5" s="4" t="inlineStr">
        <is>
          <t>Items — total</t>
        </is>
      </c>
      <c r="B5" s="4">
        <f>COUNTA(Items!A2:A26)</f>
        <v/>
      </c>
      <c r="C5" s="4" t="inlineStr">
        <is>
          <t>every row on the Items sheet</t>
        </is>
      </c>
    </row>
    <row r="6">
      <c r="A6" s="4" t="inlineStr">
        <is>
          <t>Items — needing review</t>
        </is>
      </c>
      <c r="B6" s="4">
        <f>COUNTIF(Items!J2:J26,"YES")</f>
        <v/>
      </c>
      <c r="C6" s="4" t="inlineStr">
        <is>
          <t>low confidence, unusable title, or a duplicate flag</t>
        </is>
      </c>
    </row>
    <row r="7">
      <c r="A7" s="4" t="inlineStr">
        <is>
          <t>Items — with an off-taxonomy tag</t>
        </is>
      </c>
      <c r="B7" s="4">
        <f>COUNTIF(Items!H2:H26,"&lt;&gt;")</f>
        <v/>
      </c>
      <c r="C7" s="4" t="inlineStr">
        <is>
          <t>tags the model invented outside the fixed 25</t>
        </is>
      </c>
    </row>
    <row r="8">
      <c r="A8" s="4" t="inlineStr">
        <is>
          <t>Items — still on the legacy 384-dim embedding</t>
        </is>
      </c>
      <c r="B8" s="4">
        <f>COUNTIF(Items!M2:M26,384)</f>
        <v/>
      </c>
      <c r="C8" s="4" t="inlineStr">
        <is>
          <t>captured before v4.0 W1; their links are pre-embedding_v2</t>
        </is>
      </c>
    </row>
    <row r="9">
      <c r="A9" s="4" t="inlineStr">
        <is>
          <t>Connections — total</t>
        </is>
      </c>
      <c r="B9" s="4">
        <f>COUNTA(Connections!A2:A14)</f>
        <v/>
      </c>
      <c r="C9" s="4" t="inlineStr">
        <is>
          <t>every link in the whole brain</t>
        </is>
      </c>
    </row>
    <row r="10">
      <c r="A10" s="4" t="inlineStr">
        <is>
          <t>Connections — that are just 'same braindump'</t>
        </is>
      </c>
      <c r="B10" s="4">
        <f>COUNTIF(Connections!C2:C14,"same braindump*")</f>
        <v/>
      </c>
      <c r="C10" s="4" t="inlineStr">
        <is>
          <t>PROVENANCE presented as meaning</t>
        </is>
      </c>
    </row>
    <row r="11">
      <c r="A11" s="4" t="inlineStr">
        <is>
          <t>Connections — from the dead gte-small space</t>
        </is>
      </c>
      <c r="B11" s="4">
        <f>COUNTIF(Connections!C2:C14,"legacy*")</f>
        <v/>
      </c>
      <c r="C11" s="4" t="inlineStr">
        <is>
          <t>the brief says purge these</t>
        </is>
      </c>
    </row>
    <row r="12">
      <c r="A12" s="4" t="inlineStr">
        <is>
          <t>Connections — real embedding_v2 similarity</t>
        </is>
      </c>
      <c r="B12" s="4">
        <f>COUNTIF(Connections!C2:C14,"similarity (embedding_v2)")</f>
        <v/>
      </c>
      <c r="C12" s="4" t="inlineStr">
        <is>
          <t>what the owner THINKS a connection is</t>
        </is>
      </c>
    </row>
    <row r="13">
      <c r="A13" s="4" t="inlineStr">
        <is>
          <t>Entity strings</t>
        </is>
      </c>
      <c r="B13" s="4">
        <f>COUNTA(Entities!A2:A21)</f>
        <v/>
      </c>
      <c r="C13" s="4" t="inlineStr">
        <is>
          <t>raw strings; no canon exists yet</t>
        </is>
      </c>
    </row>
    <row r="14">
      <c r="A14" s="4" t="inlineStr">
        <is>
          <t>Entity strings flagged for a canon decision</t>
        </is>
      </c>
      <c r="B14" s="4">
        <f>COUNTIF(Entities!E2:E21,"&lt;&gt;")</f>
        <v/>
      </c>
      <c r="C14" s="4" t="inlineStr">
        <is>
          <t>duplicates, casing, or wrong kind</t>
        </is>
      </c>
    </row>
    <row r="15">
      <c r="A15" s="4" t="inlineStr">
        <is>
          <t>Tags in the fixed taxonomy</t>
        </is>
      </c>
      <c r="B15" s="4">
        <f>25</f>
        <v/>
      </c>
      <c r="C15" s="4" t="inlineStr">
        <is>
          <t>lib/title-standard.mjs TAG_TAXONOMY</t>
        </is>
      </c>
    </row>
    <row r="16">
      <c r="A16" s="4" t="inlineStr">
        <is>
          <t>Tags invented outside it</t>
        </is>
      </c>
      <c r="B16" s="4">
        <f>COUNTIF(Tags!C2:C33,"OFF-TAXONOMY (invented)")</f>
        <v/>
      </c>
      <c r="C16" s="4" t="inlineStr">
        <is>
          <t>each one is a classification leak</t>
        </is>
      </c>
    </row>
    <row r="18">
      <c r="A18" s="5" t="inlineStr">
        <is>
          <t>Yellow cells are for you to fill in.</t>
        </is>
      </c>
      <c r="B18" t="inlineStr"/>
      <c r="C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42" customWidth="1" min="3" max="3"/>
    <col width="50" customWidth="1" min="4" max="4"/>
    <col width="9" customWidth="1" min="5" max="5"/>
    <col width="10" customWidth="1" min="6" max="6"/>
    <col width="26" customWidth="1" min="7" max="7"/>
    <col width="20" customWidth="1" min="8" max="8"/>
    <col width="7" customWidth="1" min="9" max="9"/>
    <col width="9" customWidth="1" min="10" max="10"/>
    <col width="30" customWidth="1" min="11" max="11"/>
    <col width="7" customWidth="1" min="12" max="12"/>
    <col width="7" customWidth="1" min="13" max="13"/>
    <col width="7" customWidth="1" min="14" max="14"/>
    <col width="9" customWidth="1" min="15" max="15"/>
    <col width="17" customWidth="1" min="16" max="16"/>
  </cols>
  <sheetData>
    <row r="1">
      <c r="A1" s="6" t="inlineStr">
        <is>
          <t>id</t>
        </is>
      </c>
      <c r="B1" s="6" t="inlineStr">
        <is>
          <t>type</t>
        </is>
      </c>
      <c r="C1" s="6" t="inlineStr">
        <is>
          <t>TITLE — right?</t>
        </is>
      </c>
      <c r="D1" s="6" t="inlineStr">
        <is>
          <t>body (trimmed)</t>
        </is>
      </c>
      <c r="E1" s="6" t="inlineStr">
        <is>
          <t>status</t>
        </is>
      </c>
      <c r="F1" s="6" t="inlineStr">
        <is>
          <t>source</t>
        </is>
      </c>
      <c r="G1" s="6" t="inlineStr">
        <is>
          <t>tags</t>
        </is>
      </c>
      <c r="H1" s="6" t="inlineStr">
        <is>
          <t>OFF-TAXONOMY tags</t>
        </is>
      </c>
      <c r="I1" s="6" t="inlineStr">
        <is>
          <t>conf</t>
        </is>
      </c>
      <c r="J1" s="6" t="inlineStr">
        <is>
          <t>needs review</t>
        </is>
      </c>
      <c r="K1" s="6" t="inlineStr">
        <is>
          <t>review reason</t>
        </is>
      </c>
      <c r="L1" s="6" t="inlineStr">
        <is>
          <t>links</t>
        </is>
      </c>
      <c r="M1" s="6" t="inlineStr">
        <is>
          <t>emb v1</t>
        </is>
      </c>
      <c r="N1" s="6" t="inlineStr">
        <is>
          <t>emb v2</t>
        </is>
      </c>
      <c r="O1" s="6" t="inlineStr">
        <is>
          <t>split sibling</t>
        </is>
      </c>
      <c r="P1" s="6" t="inlineStr">
        <is>
          <t>created</t>
        </is>
      </c>
    </row>
    <row r="2">
      <c r="A2" s="4" t="inlineStr">
        <is>
          <t>63a9c89d</t>
        </is>
      </c>
      <c r="B2" s="4" t="inlineStr">
        <is>
          <t>task</t>
        </is>
      </c>
      <c r="C2" s="4" t="inlineStr">
        <is>
          <t>Beate Manhart emails — father lawsuit review</t>
        </is>
      </c>
      <c r="D2" s="4" t="inlineStr">
        <is>
          <t>check emails from beate manhart regarding father lawsuit</t>
        </is>
      </c>
      <c r="E2" s="4" t="inlineStr">
        <is>
          <t>done</t>
        </is>
      </c>
      <c r="F2" s="4" t="inlineStr">
        <is>
          <t>typed</t>
        </is>
      </c>
      <c r="G2" s="4" t="inlineStr">
        <is>
          <t>legal, family</t>
        </is>
      </c>
      <c r="H2" s="4" t="inlineStr"/>
      <c r="I2" s="4" t="n"/>
      <c r="J2" s="4" t="inlineStr"/>
      <c r="K2" s="4" t="inlineStr"/>
      <c r="L2" s="4" t="n">
        <v>0</v>
      </c>
      <c r="M2" s="7" t="n">
        <v>384</v>
      </c>
      <c r="N2" s="4" t="n">
        <v>1024</v>
      </c>
      <c r="O2" s="4" t="inlineStr"/>
      <c r="P2" s="4" t="inlineStr">
        <is>
          <t>2026-07-22T21:57</t>
        </is>
      </c>
    </row>
    <row r="3">
      <c r="A3" s="4" t="inlineStr">
        <is>
          <t>f6424b9f</t>
        </is>
      </c>
      <c r="B3" s="4" t="inlineStr">
        <is>
          <t>reference</t>
        </is>
      </c>
      <c r="C3" s="4" t="inlineStr">
        <is>
          <t>Dani works at V-bank via Manhart</t>
        </is>
      </c>
      <c r="D3" s="4" t="inlineStr">
        <is>
          <t>Dani does consulting work for V-bank through Manhart Consulting Group.</t>
        </is>
      </c>
      <c r="E3" s="4" t="inlineStr">
        <is>
          <t>open</t>
        </is>
      </c>
      <c r="F3" s="4" t="inlineStr">
        <is>
          <t>typed</t>
        </is>
      </c>
      <c r="G3" s="4" t="inlineStr">
        <is>
          <t>people, work, consulting</t>
        </is>
      </c>
      <c r="H3" s="8" t="inlineStr">
        <is>
          <t>work, consulting</t>
        </is>
      </c>
      <c r="I3" s="4" t="n">
        <v>0.85</v>
      </c>
      <c r="J3" s="4" t="inlineStr"/>
      <c r="K3" s="4" t="inlineStr"/>
      <c r="L3" s="4" t="n">
        <v>1</v>
      </c>
      <c r="M3" s="7" t="n">
        <v>384</v>
      </c>
      <c r="N3" s="4" t="n">
        <v>1024</v>
      </c>
      <c r="O3" s="4" t="inlineStr"/>
      <c r="P3" s="4" t="inlineStr">
        <is>
          <t>2026-07-23T04:26</t>
        </is>
      </c>
    </row>
    <row r="4">
      <c r="A4" s="4" t="inlineStr">
        <is>
          <t>03e48a3b</t>
        </is>
      </c>
      <c r="B4" s="4" t="inlineStr">
        <is>
          <t>task</t>
        </is>
      </c>
      <c r="C4" s="4" t="inlineStr">
        <is>
          <t>Obsidian-X connection — verify it works</t>
        </is>
      </c>
      <c r="D4" s="4" t="inlineStr">
        <is>
          <t>Verify that the Obsidian-X connection is functioning properly. ## From ClickUp &lt;!-- clickup-description --&gt; Verify that the Obsidian-X connection is functioning</t>
        </is>
      </c>
      <c r="E4" s="4" t="inlineStr">
        <is>
          <t>open</t>
        </is>
      </c>
      <c r="F4" s="4" t="inlineStr">
        <is>
          <t>telegram</t>
        </is>
      </c>
      <c r="G4" s="4" t="inlineStr">
        <is>
          <t>tech</t>
        </is>
      </c>
      <c r="H4" s="4" t="inlineStr"/>
      <c r="I4" s="4" t="n">
        <v>0.72</v>
      </c>
      <c r="J4" s="4" t="inlineStr"/>
      <c r="K4" s="4" t="inlineStr"/>
      <c r="L4" s="4" t="n">
        <v>0</v>
      </c>
      <c r="M4" s="4" t="n">
        <v>0</v>
      </c>
      <c r="N4" s="4" t="n">
        <v>1024</v>
      </c>
      <c r="O4" s="4" t="inlineStr"/>
      <c r="P4" s="4" t="inlineStr">
        <is>
          <t>2026-07-30T20:32</t>
        </is>
      </c>
    </row>
    <row r="5">
      <c r="A5" s="4" t="inlineStr">
        <is>
          <t>ce99f379</t>
        </is>
      </c>
      <c r="B5" s="4" t="inlineStr">
        <is>
          <t>task</t>
        </is>
      </c>
      <c r="C5" s="4" t="inlineStr">
        <is>
          <t>Check with Jake about missing reimbursement</t>
        </is>
      </c>
      <c r="D5" s="4" t="inlineStr">
        <is>
          <t>Contact Jake to follow up on a missing reimbursement.</t>
        </is>
      </c>
      <c r="E5" s="4" t="inlineStr">
        <is>
          <t>open</t>
        </is>
      </c>
      <c r="F5" s="4" t="inlineStr">
        <is>
          <t>telegram</t>
        </is>
      </c>
      <c r="G5" s="4" t="inlineStr">
        <is>
          <t>finance</t>
        </is>
      </c>
      <c r="H5" s="4" t="inlineStr"/>
      <c r="I5" s="4" t="n">
        <v>0.95</v>
      </c>
      <c r="J5" s="4" t="inlineStr"/>
      <c r="K5" s="4" t="inlineStr"/>
      <c r="L5" s="4" t="n">
        <v>3</v>
      </c>
      <c r="M5" s="4" t="n">
        <v>0</v>
      </c>
      <c r="N5" s="4" t="n">
        <v>1024</v>
      </c>
      <c r="O5" s="4" t="inlineStr">
        <is>
          <t>YES</t>
        </is>
      </c>
      <c r="P5" s="4" t="inlineStr">
        <is>
          <t>2026-07-30T22:09</t>
        </is>
      </c>
    </row>
    <row r="6">
      <c r="A6" s="4" t="inlineStr">
        <is>
          <t>9bd6c9ce</t>
        </is>
      </c>
      <c r="B6" s="4" t="inlineStr">
        <is>
          <t>task</t>
        </is>
      </c>
      <c r="C6" s="4" t="inlineStr">
        <is>
          <t>Send mum new court strategy docs</t>
        </is>
      </c>
      <c r="D6" s="4" t="inlineStr">
        <is>
          <t>Send updated court strategy documents to mum. ## From ClickUp &lt;!-- clickup-comment:90130299242471 --&gt; **David Manhart** · Jul 31, 2026 IMG_5615.HEIC</t>
        </is>
      </c>
      <c r="E6" s="4" t="inlineStr">
        <is>
          <t>open</t>
        </is>
      </c>
      <c r="F6" s="4" t="inlineStr">
        <is>
          <t>telegram</t>
        </is>
      </c>
      <c r="G6" s="4" t="inlineStr">
        <is>
          <t>legal, family</t>
        </is>
      </c>
      <c r="H6" s="4" t="inlineStr"/>
      <c r="I6" s="4" t="n">
        <v>0.95</v>
      </c>
      <c r="J6" s="4" t="inlineStr"/>
      <c r="K6" s="4" t="inlineStr"/>
      <c r="L6" s="4" t="n">
        <v>3</v>
      </c>
      <c r="M6" s="4" t="n">
        <v>0</v>
      </c>
      <c r="N6" s="4" t="n">
        <v>1024</v>
      </c>
      <c r="O6" s="4" t="inlineStr">
        <is>
          <t>YES</t>
        </is>
      </c>
      <c r="P6" s="4" t="inlineStr">
        <is>
          <t>2026-07-30T22:09</t>
        </is>
      </c>
    </row>
    <row r="7">
      <c r="A7" s="4" t="inlineStr">
        <is>
          <t>115def0e</t>
        </is>
      </c>
      <c r="B7" s="4" t="inlineStr">
        <is>
          <t>task</t>
        </is>
      </c>
      <c r="C7" s="4" t="inlineStr">
        <is>
          <t>Prep for meeting with Dani and reschedule</t>
        </is>
      </c>
      <c r="D7" s="4" t="inlineStr">
        <is>
          <t>Prepare for meeting with Dani to go over process. Book a new meeting time.</t>
        </is>
      </c>
      <c r="E7" s="4" t="inlineStr">
        <is>
          <t>open</t>
        </is>
      </c>
      <c r="F7" s="4" t="inlineStr">
        <is>
          <t>telegram</t>
        </is>
      </c>
      <c r="G7" s="4" t="inlineStr">
        <is>
          <t>business</t>
        </is>
      </c>
      <c r="H7" s="4" t="inlineStr"/>
      <c r="I7" s="4" t="n">
        <v>0.93</v>
      </c>
      <c r="J7" s="4" t="inlineStr"/>
      <c r="K7" s="4" t="inlineStr"/>
      <c r="L7" s="4" t="n">
        <v>3</v>
      </c>
      <c r="M7" s="4" t="n">
        <v>0</v>
      </c>
      <c r="N7" s="4" t="n">
        <v>1024</v>
      </c>
      <c r="O7" s="4" t="inlineStr">
        <is>
          <t>YES</t>
        </is>
      </c>
      <c r="P7" s="4" t="inlineStr">
        <is>
          <t>2026-07-30T22:09</t>
        </is>
      </c>
    </row>
    <row r="8">
      <c r="A8" s="4" t="inlineStr">
        <is>
          <t>f168ab90</t>
        </is>
      </c>
      <c r="B8" s="4" t="inlineStr">
        <is>
          <t>task</t>
        </is>
      </c>
      <c r="C8" s="4" t="inlineStr">
        <is>
          <t>School assignment submission requirements</t>
        </is>
      </c>
      <c r="D8" s="4" t="inlineStr">
        <is>
          <t>Check what needs to be handed in for school.</t>
        </is>
      </c>
      <c r="E8" s="4" t="inlineStr">
        <is>
          <t>open</t>
        </is>
      </c>
      <c r="F8" s="4" t="inlineStr">
        <is>
          <t>telegram</t>
        </is>
      </c>
      <c r="G8" s="4" t="inlineStr">
        <is>
          <t>school</t>
        </is>
      </c>
      <c r="H8" s="4" t="inlineStr"/>
      <c r="I8" s="4" t="n">
        <v>0.88</v>
      </c>
      <c r="J8" s="4" t="inlineStr"/>
      <c r="K8" s="4" t="inlineStr"/>
      <c r="L8" s="4" t="n">
        <v>3</v>
      </c>
      <c r="M8" s="4" t="n">
        <v>0</v>
      </c>
      <c r="N8" s="4" t="n">
        <v>1024</v>
      </c>
      <c r="O8" s="4" t="inlineStr">
        <is>
          <t>YES</t>
        </is>
      </c>
      <c r="P8" s="4" t="inlineStr">
        <is>
          <t>2026-07-30T22:09</t>
        </is>
      </c>
    </row>
    <row r="9">
      <c r="A9" s="4" t="inlineStr">
        <is>
          <t>0eb3b697</t>
        </is>
      </c>
      <c r="B9" s="4" t="inlineStr">
        <is>
          <t>task</t>
        </is>
      </c>
      <c r="C9" s="4" t="inlineStr">
        <is>
          <t>RBC checks</t>
        </is>
      </c>
      <c r="D9" s="4" t="inlineStr">
        <is>
          <t>Also add: RBC debit card RBC credit card check Creditcard update check</t>
        </is>
      </c>
      <c r="E9" s="4" t="inlineStr">
        <is>
          <t>open</t>
        </is>
      </c>
      <c r="F9" s="4" t="inlineStr">
        <is>
          <t>telegram</t>
        </is>
      </c>
      <c r="G9" s="4" t="inlineStr">
        <is>
          <t>private</t>
        </is>
      </c>
      <c r="H9" s="8" t="inlineStr">
        <is>
          <t>private</t>
        </is>
      </c>
      <c r="I9" s="4" t="n">
        <v>1</v>
      </c>
      <c r="J9" s="4" t="inlineStr"/>
      <c r="K9" s="4" t="inlineStr"/>
      <c r="L9" s="4" t="n">
        <v>0</v>
      </c>
      <c r="M9" s="4" t="n">
        <v>0</v>
      </c>
      <c r="N9" s="4" t="n">
        <v>1024</v>
      </c>
      <c r="O9" s="4" t="inlineStr"/>
      <c r="P9" s="4" t="inlineStr">
        <is>
          <t>2026-07-30T22:09</t>
        </is>
      </c>
    </row>
    <row r="10">
      <c r="A10" s="4" t="inlineStr">
        <is>
          <t>660131db</t>
        </is>
      </c>
      <c r="B10" s="4" t="inlineStr">
        <is>
          <t>task</t>
        </is>
      </c>
      <c r="C10" s="4" t="inlineStr">
        <is>
          <t>Contact Hoffman — Silicon Valley job</t>
        </is>
      </c>
      <c r="D10" s="4" t="inlineStr">
        <is>
          <t>Reach out to Hoffman regarding a job opportunity in Silicon Valley.</t>
        </is>
      </c>
      <c r="E10" s="4" t="inlineStr">
        <is>
          <t>open</t>
        </is>
      </c>
      <c r="F10" s="4" t="inlineStr">
        <is>
          <t>telegram</t>
        </is>
      </c>
      <c r="G10" s="4" t="inlineStr">
        <is>
          <t>career</t>
        </is>
      </c>
      <c r="H10" s="4" t="inlineStr"/>
      <c r="I10" s="4" t="n">
        <v>0.72</v>
      </c>
      <c r="J10" s="4" t="inlineStr"/>
      <c r="K10" s="4" t="inlineStr"/>
      <c r="L10" s="4" t="n">
        <v>0</v>
      </c>
      <c r="M10" s="4" t="n">
        <v>0</v>
      </c>
      <c r="N10" s="4" t="n">
        <v>1024</v>
      </c>
      <c r="O10" s="4" t="inlineStr"/>
      <c r="P10" s="4" t="inlineStr">
        <is>
          <t>2026-07-31T00:26</t>
        </is>
      </c>
    </row>
    <row r="11">
      <c r="A11" s="4" t="inlineStr">
        <is>
          <t>e198e233</t>
        </is>
      </c>
      <c r="B11" s="4" t="inlineStr">
        <is>
          <t>task</t>
        </is>
      </c>
      <c r="C11" s="4" t="inlineStr">
        <is>
          <t>Message Don about cheque</t>
        </is>
      </c>
      <c r="D11" s="4" t="inlineStr">
        <is>
          <t>Send a message to Don regarding a cheque.</t>
        </is>
      </c>
      <c r="E11" s="4" t="inlineStr">
        <is>
          <t>open</t>
        </is>
      </c>
      <c r="F11" s="4" t="inlineStr">
        <is>
          <t>telegram</t>
        </is>
      </c>
      <c r="G11" s="4" t="inlineStr">
        <is>
          <t>people</t>
        </is>
      </c>
      <c r="H11" s="4" t="inlineStr"/>
      <c r="I11" s="4" t="n">
        <v>0.95</v>
      </c>
      <c r="J11" s="4" t="inlineStr"/>
      <c r="K11" s="4" t="inlineStr"/>
      <c r="L11" s="4" t="n">
        <v>0</v>
      </c>
      <c r="M11" s="4" t="n">
        <v>0</v>
      </c>
      <c r="N11" s="4" t="n">
        <v>1024</v>
      </c>
      <c r="O11" s="4" t="inlineStr"/>
      <c r="P11" s="4" t="inlineStr">
        <is>
          <t>2026-07-31T00:41</t>
        </is>
      </c>
    </row>
    <row r="12">
      <c r="A12" s="4" t="inlineStr">
        <is>
          <t>8a422ede</t>
        </is>
      </c>
      <c r="B12" s="4" t="inlineStr">
        <is>
          <t>event</t>
        </is>
      </c>
      <c r="C12" s="4" t="inlineStr">
        <is>
          <t>Sandrine French pastry — weekend visit with Anna</t>
        </is>
      </c>
      <c r="D12" s="4" t="inlineStr">
        <is>
          <t>Anna wants to go to Sandrine French pastry at the lakeshore this weekend.</t>
        </is>
      </c>
      <c r="E12" s="4" t="inlineStr">
        <is>
          <t>done</t>
        </is>
      </c>
      <c r="F12" s="4" t="inlineStr">
        <is>
          <t>telegram</t>
        </is>
      </c>
      <c r="G12" s="4" t="inlineStr">
        <is>
          <t>food, people</t>
        </is>
      </c>
      <c r="H12" s="4" t="inlineStr"/>
      <c r="I12" s="4" t="n">
        <v>0.72</v>
      </c>
      <c r="J12" s="4" t="inlineStr"/>
      <c r="K12" s="4" t="inlineStr"/>
      <c r="L12" s="4" t="n">
        <v>0</v>
      </c>
      <c r="M12" s="4" t="n">
        <v>0</v>
      </c>
      <c r="N12" s="4" t="n">
        <v>1024</v>
      </c>
      <c r="O12" s="4" t="inlineStr"/>
      <c r="P12" s="4" t="inlineStr">
        <is>
          <t>2026-07-31T01:09</t>
        </is>
      </c>
    </row>
    <row r="13">
      <c r="A13" s="4" t="inlineStr">
        <is>
          <t>977b7136</t>
        </is>
      </c>
      <c r="B13" s="4" t="inlineStr">
        <is>
          <t>task</t>
        </is>
      </c>
      <c r="C13" s="4" t="inlineStr">
        <is>
          <t>Barbecue prep — Sunday event</t>
        </is>
      </c>
      <c r="D13" s="4" t="inlineStr">
        <is>
          <t>Prepare for a barbecue happening on Sunday. Details needed: guest count, menu, shopping list, setup tasks.</t>
        </is>
      </c>
      <c r="E13" s="4" t="inlineStr">
        <is>
          <t>open</t>
        </is>
      </c>
      <c r="F13" s="4" t="inlineStr">
        <is>
          <t>telegram</t>
        </is>
      </c>
      <c r="G13" s="4" t="inlineStr">
        <is>
          <t>events, food</t>
        </is>
      </c>
      <c r="H13" s="4" t="inlineStr"/>
      <c r="I13" s="4" t="n">
        <v>0.72</v>
      </c>
      <c r="J13" s="4" t="inlineStr"/>
      <c r="K13" s="4" t="inlineStr"/>
      <c r="L13" s="4" t="n">
        <v>0</v>
      </c>
      <c r="M13" s="4" t="n">
        <v>0</v>
      </c>
      <c r="N13" s="4" t="n">
        <v>1024</v>
      </c>
      <c r="O13" s="4" t="inlineStr"/>
      <c r="P13" s="4" t="inlineStr">
        <is>
          <t>2026-07-31T01:09</t>
        </is>
      </c>
    </row>
    <row r="14">
      <c r="A14" s="4" t="inlineStr">
        <is>
          <t>193208c2</t>
        </is>
      </c>
      <c r="B14" s="4" t="inlineStr">
        <is>
          <t>note</t>
        </is>
      </c>
      <c r="C14" s="4" t="inlineStr">
        <is>
          <t>Daily digest — 2026-07-31</t>
        </is>
      </c>
      <c r="D14" s="4" t="inlineStr">
        <is>
          <t>**Daily Digest** Today was mostly task-capture heavy: several follow-ups (Jake's reimbursement, mum's court docs, Don's cheque, Hoffman's job lead), a meeting t</t>
        </is>
      </c>
      <c r="E14" s="4" t="inlineStr">
        <is>
          <t>open</t>
        </is>
      </c>
      <c r="F14" s="4" t="inlineStr">
        <is>
          <t>system</t>
        </is>
      </c>
      <c r="G14" s="4" t="inlineStr">
        <is>
          <t>digest</t>
        </is>
      </c>
      <c r="H14" s="8" t="inlineStr">
        <is>
          <t>digest</t>
        </is>
      </c>
      <c r="I14" s="4" t="n"/>
      <c r="J14" s="4" t="inlineStr"/>
      <c r="K14" s="4" t="inlineStr"/>
      <c r="L14" s="4" t="n">
        <v>0</v>
      </c>
      <c r="M14" s="4" t="n">
        <v>0</v>
      </c>
      <c r="N14" s="4" t="n">
        <v>1024</v>
      </c>
      <c r="O14" s="4" t="inlineStr"/>
      <c r="P14" s="4" t="inlineStr">
        <is>
          <t>2026-07-31T05:13</t>
        </is>
      </c>
    </row>
    <row r="15">
      <c r="A15" s="4" t="inlineStr">
        <is>
          <t>e73ed7b2</t>
        </is>
      </c>
      <c r="B15" s="4" t="inlineStr">
        <is>
          <t>task</t>
        </is>
      </c>
      <c r="C15" s="4" t="inlineStr">
        <is>
          <t>Call Mateo on sunday</t>
        </is>
      </c>
      <c r="D15" s="4" t="inlineStr">
        <is>
          <t>Call Mateo on Sunday.</t>
        </is>
      </c>
      <c r="E15" s="4" t="inlineStr">
        <is>
          <t>open</t>
        </is>
      </c>
      <c r="F15" s="4" t="inlineStr">
        <is>
          <t>telegram</t>
        </is>
      </c>
      <c r="G15" s="4" t="inlineStr">
        <is>
          <t>people</t>
        </is>
      </c>
      <c r="H15" s="4" t="inlineStr"/>
      <c r="I15" s="4" t="n">
        <v>0.5</v>
      </c>
      <c r="J15" s="8" t="inlineStr">
        <is>
          <t>YES</t>
        </is>
      </c>
      <c r="K15" s="4" t="inlineStr">
        <is>
          <t>no usable title could be written — please retitle</t>
        </is>
      </c>
      <c r="L15" s="4" t="n">
        <v>0</v>
      </c>
      <c r="M15" s="4" t="n">
        <v>0</v>
      </c>
      <c r="N15" s="4" t="n">
        <v>1024</v>
      </c>
      <c r="O15" s="4" t="inlineStr"/>
      <c r="P15" s="4" t="inlineStr">
        <is>
          <t>2026-07-31T19:24</t>
        </is>
      </c>
    </row>
    <row r="16">
      <c r="A16" s="4" t="inlineStr">
        <is>
          <t>a5265e15</t>
        </is>
      </c>
      <c r="B16" s="4" t="inlineStr">
        <is>
          <t>shopping</t>
        </is>
      </c>
      <c r="C16" s="4" t="inlineStr">
        <is>
          <t>Shopping list — tiramisu, cream, milk, herbs, produce, tools</t>
        </is>
      </c>
      <c r="D16" s="4" t="inlineStr">
        <is>
          <t>Tiramisu, cream, milk, rosemary, lemon, shallots, russet potatoes, potato slicer, corn</t>
        </is>
      </c>
      <c r="E16" s="4" t="inlineStr">
        <is>
          <t>open</t>
        </is>
      </c>
      <c r="F16" s="4" t="inlineStr">
        <is>
          <t>telegram</t>
        </is>
      </c>
      <c r="G16" s="4" t="inlineStr">
        <is>
          <t>food</t>
        </is>
      </c>
      <c r="H16" s="4" t="inlineStr"/>
      <c r="I16" s="4" t="n">
        <v>0.95</v>
      </c>
      <c r="J16" s="4" t="inlineStr"/>
      <c r="K16" s="4" t="inlineStr"/>
      <c r="L16" s="4" t="n">
        <v>0</v>
      </c>
      <c r="M16" s="4" t="n">
        <v>0</v>
      </c>
      <c r="N16" s="4" t="n">
        <v>1024</v>
      </c>
      <c r="O16" s="4" t="inlineStr"/>
      <c r="P16" s="4" t="inlineStr">
        <is>
          <t>2026-07-31T19:27</t>
        </is>
      </c>
    </row>
    <row r="17">
      <c r="A17" s="4" t="inlineStr">
        <is>
          <t>00d0ebaa</t>
        </is>
      </c>
      <c r="B17" s="4" t="inlineStr">
        <is>
          <t>task</t>
        </is>
      </c>
      <c r="C17" s="4" t="inlineStr">
        <is>
          <t>Nano Nuclear Energy Inc. — annual meeting vote deadline</t>
        </is>
      </c>
      <c r="D17" s="4" t="inlineStr">
        <is>
          <t>Annual Meeting for Nano Nuclear Energy Inc. (CUSIP: 63010H108). Vote deadline: September 14, 2026 at 11:59 PM Eastern Time. Meeting date: September 15, 2026. Re</t>
        </is>
      </c>
      <c r="E17" s="4" t="inlineStr">
        <is>
          <t>open</t>
        </is>
      </c>
      <c r="F17" s="4" t="inlineStr">
        <is>
          <t>gmail</t>
        </is>
      </c>
      <c r="G17" s="4" t="inlineStr">
        <is>
          <t>investing, nano-nuclear-energy</t>
        </is>
      </c>
      <c r="H17" s="8" t="inlineStr">
        <is>
          <t>nano-nuclear-energy</t>
        </is>
      </c>
      <c r="I17" s="4" t="n">
        <v>0.95</v>
      </c>
      <c r="J17" s="4" t="inlineStr"/>
      <c r="K17" s="4" t="inlineStr"/>
      <c r="L17" s="4" t="n">
        <v>0</v>
      </c>
      <c r="M17" s="4" t="n">
        <v>0</v>
      </c>
      <c r="N17" s="4" t="n">
        <v>1024</v>
      </c>
      <c r="O17" s="4" t="inlineStr"/>
      <c r="P17" s="4" t="inlineStr">
        <is>
          <t>2026-07-31T20:02</t>
        </is>
      </c>
    </row>
    <row r="18">
      <c r="A18" s="4" t="inlineStr">
        <is>
          <t>af7fb69d</t>
        </is>
      </c>
      <c r="B18" s="4" t="inlineStr">
        <is>
          <t>shopping</t>
        </is>
      </c>
      <c r="C18" s="4" t="inlineStr">
        <is>
          <t>Untitled capture</t>
        </is>
      </c>
      <c r="D18" s="4" t="inlineStr">
        <is>
          <t>Add bananas to the shopping list.</t>
        </is>
      </c>
      <c r="E18" s="4" t="inlineStr">
        <is>
          <t>archived</t>
        </is>
      </c>
      <c r="F18" s="4" t="inlineStr">
        <is>
          <t>telegram</t>
        </is>
      </c>
      <c r="G18" s="4" t="inlineStr">
        <is>
          <t>food</t>
        </is>
      </c>
      <c r="H18" s="4" t="inlineStr"/>
      <c r="I18" s="4" t="n">
        <v>0.5</v>
      </c>
      <c r="J18" s="8" t="inlineStr">
        <is>
          <t>YES</t>
        </is>
      </c>
      <c r="K18" s="4" t="inlineStr">
        <is>
          <t>no usable title could be written — please retitle</t>
        </is>
      </c>
      <c r="L18" s="4" t="n">
        <v>0</v>
      </c>
      <c r="M18" s="4" t="n">
        <v>0</v>
      </c>
      <c r="N18" s="4" t="n">
        <v>1024</v>
      </c>
      <c r="O18" s="4" t="inlineStr"/>
      <c r="P18" s="4" t="inlineStr">
        <is>
          <t>2026-07-31T20:06</t>
        </is>
      </c>
    </row>
    <row r="19">
      <c r="A19" s="4" t="inlineStr">
        <is>
          <t>7ad71cdd</t>
        </is>
      </c>
      <c r="B19" s="4" t="inlineStr">
        <is>
          <t>shopping</t>
        </is>
      </c>
      <c r="C19" s="4" t="inlineStr">
        <is>
          <t>Add bananas to shopping list</t>
        </is>
      </c>
      <c r="D19" s="4" t="inlineStr">
        <is>
          <t>Bananas</t>
        </is>
      </c>
      <c r="E19" s="4" t="inlineStr">
        <is>
          <t>open</t>
        </is>
      </c>
      <c r="F19" s="4" t="inlineStr">
        <is>
          <t>telegram</t>
        </is>
      </c>
      <c r="G19" s="4" t="inlineStr">
        <is>
          <t>food</t>
        </is>
      </c>
      <c r="H19" s="4" t="inlineStr"/>
      <c r="I19" s="4" t="n">
        <v>0.95</v>
      </c>
      <c r="J19" s="8" t="inlineStr">
        <is>
          <t>YES</t>
        </is>
      </c>
      <c r="K19" s="4" t="inlineStr">
        <is>
          <t>possible duplicate of "Untitled capture"</t>
        </is>
      </c>
      <c r="L19" s="4" t="n">
        <v>0</v>
      </c>
      <c r="M19" s="4" t="n">
        <v>0</v>
      </c>
      <c r="N19" s="4" t="n">
        <v>1024</v>
      </c>
      <c r="O19" s="4" t="inlineStr"/>
      <c r="P19" s="4" t="inlineStr">
        <is>
          <t>2026-07-31T20:06</t>
        </is>
      </c>
    </row>
    <row r="20">
      <c r="A20" s="4" t="inlineStr">
        <is>
          <t>bf91bf93</t>
        </is>
      </c>
      <c r="B20" s="4" t="inlineStr">
        <is>
          <t>task</t>
        </is>
      </c>
      <c r="C20" s="4" t="inlineStr">
        <is>
          <t>Remove parsley from shopping list</t>
        </is>
      </c>
      <c r="D20" s="4" t="inlineStr">
        <is>
          <t>Remove parsley from the shopping list.</t>
        </is>
      </c>
      <c r="E20" s="4" t="inlineStr">
        <is>
          <t>open</t>
        </is>
      </c>
      <c r="F20" s="4" t="inlineStr">
        <is>
          <t>telegram</t>
        </is>
      </c>
      <c r="G20" s="4" t="inlineStr">
        <is>
          <t>shopping</t>
        </is>
      </c>
      <c r="H20" s="8" t="inlineStr">
        <is>
          <t>shopping</t>
        </is>
      </c>
      <c r="I20" s="4" t="n">
        <v>0.3</v>
      </c>
      <c r="J20" s="8" t="inlineStr">
        <is>
          <t>YES</t>
        </is>
      </c>
      <c r="K20" s="4" t="inlineStr">
        <is>
          <t>low classification confidence — please confirm</t>
        </is>
      </c>
      <c r="L20" s="4" t="n">
        <v>0</v>
      </c>
      <c r="M20" s="4" t="n">
        <v>0</v>
      </c>
      <c r="N20" s="4" t="n">
        <v>1024</v>
      </c>
      <c r="O20" s="4" t="inlineStr"/>
      <c r="P20" s="4" t="inlineStr">
        <is>
          <t>2026-07-31T20:07</t>
        </is>
      </c>
    </row>
    <row r="21">
      <c r="A21" s="4" t="inlineStr">
        <is>
          <t>3e5c5e30</t>
        </is>
      </c>
      <c r="B21" s="4" t="inlineStr">
        <is>
          <t>note</t>
        </is>
      </c>
      <c r="C21" s="4" t="inlineStr">
        <is>
          <t>Daily digest — 2026-08-01</t>
        </is>
      </c>
      <c r="D21" s="4" t="inlineStr">
        <is>
          <t xml:space="preserve">**Summary:** Today's captures were mostly logistical — updates to the shopping list (adding tiramisu ingredients, produce, and bananas, while removing parsley) </t>
        </is>
      </c>
      <c r="E21" s="4" t="inlineStr">
        <is>
          <t>open</t>
        </is>
      </c>
      <c r="F21" s="4" t="inlineStr">
        <is>
          <t>system</t>
        </is>
      </c>
      <c r="G21" s="4" t="inlineStr">
        <is>
          <t>digest</t>
        </is>
      </c>
      <c r="H21" s="8" t="inlineStr">
        <is>
          <t>digest</t>
        </is>
      </c>
      <c r="I21" s="4" t="n"/>
      <c r="J21" s="4" t="inlineStr"/>
      <c r="K21" s="4" t="inlineStr"/>
      <c r="L21" s="4" t="n">
        <v>0</v>
      </c>
      <c r="M21" s="4" t="n">
        <v>0</v>
      </c>
      <c r="N21" s="4" t="n">
        <v>1024</v>
      </c>
      <c r="O21" s="4" t="inlineStr"/>
      <c r="P21" s="4" t="inlineStr">
        <is>
          <t>2026-08-01T05:13</t>
        </is>
      </c>
    </row>
    <row r="22">
      <c r="A22" s="4" t="inlineStr">
        <is>
          <t>577f4f8e</t>
        </is>
      </c>
      <c r="B22" s="4" t="inlineStr">
        <is>
          <t>task</t>
        </is>
      </c>
      <c r="C22" s="4" t="inlineStr">
        <is>
          <t>Update payment details — QuickBooks Differentiate Tutoring</t>
        </is>
      </c>
      <c r="D22" s="4" t="inlineStr">
        <is>
          <t>Update payment details for QuickBooks under the Differentiate Tutoring account.</t>
        </is>
      </c>
      <c r="E22" s="4" t="inlineStr">
        <is>
          <t>open</t>
        </is>
      </c>
      <c r="F22" s="4" t="inlineStr">
        <is>
          <t>telegram</t>
        </is>
      </c>
      <c r="G22" s="4" t="inlineStr">
        <is>
          <t>business, admin</t>
        </is>
      </c>
      <c r="H22" s="4" t="inlineStr"/>
      <c r="I22" s="4" t="n">
        <v>0.95</v>
      </c>
      <c r="J22" s="4" t="inlineStr"/>
      <c r="K22" s="4" t="inlineStr"/>
      <c r="L22" s="4" t="n">
        <v>0</v>
      </c>
      <c r="M22" s="4" t="n">
        <v>0</v>
      </c>
      <c r="N22" s="4" t="n">
        <v>1024</v>
      </c>
      <c r="O22" s="4" t="inlineStr"/>
      <c r="P22" s="4" t="inlineStr">
        <is>
          <t>2026-08-01T20:34</t>
        </is>
      </c>
    </row>
    <row r="23">
      <c r="A23" s="4" t="inlineStr">
        <is>
          <t>87148d63</t>
        </is>
      </c>
      <c r="B23" s="4" t="inlineStr">
        <is>
          <t>reference</t>
        </is>
      </c>
      <c r="C23" s="4" t="inlineStr">
        <is>
          <t>Crypto.com verification code [code hidden]</t>
        </is>
      </c>
      <c r="D23" s="4" t="inlineStr">
        <is>
          <t xml:space="preserve">One-time verification code for Crypto.com account: [code hidden]. Valid for 10 minutes from receipt. Anti-phishing code: [code hidden]. If this request was not </t>
        </is>
      </c>
      <c r="E23" s="4" t="inlineStr">
        <is>
          <t>open</t>
        </is>
      </c>
      <c r="F23" s="4" t="inlineStr">
        <is>
          <t>gmail</t>
        </is>
      </c>
      <c r="G23" s="4" t="inlineStr">
        <is>
          <t>tech, cryptocom</t>
        </is>
      </c>
      <c r="H23" s="8" t="inlineStr">
        <is>
          <t>cryptocom</t>
        </is>
      </c>
      <c r="I23" s="4" t="n">
        <v>0.92</v>
      </c>
      <c r="J23" s="4" t="inlineStr"/>
      <c r="K23" s="4" t="inlineStr"/>
      <c r="L23" s="4" t="n">
        <v>0</v>
      </c>
      <c r="M23" s="4" t="n">
        <v>0</v>
      </c>
      <c r="N23" s="4" t="n">
        <v>1024</v>
      </c>
      <c r="O23" s="4" t="inlineStr"/>
      <c r="P23" s="4" t="inlineStr">
        <is>
          <t>2026-08-01T21:36</t>
        </is>
      </c>
    </row>
    <row r="24">
      <c r="A24" s="4" t="inlineStr">
        <is>
          <t>ed003afc</t>
        </is>
      </c>
      <c r="B24" s="4" t="inlineStr">
        <is>
          <t>reference</t>
        </is>
      </c>
      <c r="C24" s="4" t="inlineStr">
        <is>
          <t>Crypto.com passkey added — iOS sign-in enabled</t>
        </is>
      </c>
      <c r="D24" s="4" t="inlineStr">
        <is>
          <t>A passkey named 'Passkey on iOS' was added to the Crypto.com account on 2026-08-01 at 08:38 PM UTC. It can now be used to sign in, whitelist wallet addresses, a</t>
        </is>
      </c>
      <c r="E24" s="4" t="inlineStr">
        <is>
          <t>open</t>
        </is>
      </c>
      <c r="F24" s="4" t="inlineStr">
        <is>
          <t>gmail</t>
        </is>
      </c>
      <c r="G24" s="4" t="inlineStr">
        <is>
          <t>tech, finance, cryptocom</t>
        </is>
      </c>
      <c r="H24" s="8" t="inlineStr">
        <is>
          <t>cryptocom</t>
        </is>
      </c>
      <c r="I24" s="4" t="n">
        <v>0.92</v>
      </c>
      <c r="J24" s="4" t="inlineStr"/>
      <c r="K24" s="4" t="inlineStr"/>
      <c r="L24" s="4" t="n">
        <v>0</v>
      </c>
      <c r="M24" s="4" t="n">
        <v>0</v>
      </c>
      <c r="N24" s="4" t="n">
        <v>1024</v>
      </c>
      <c r="O24" s="4" t="inlineStr"/>
      <c r="P24" s="4" t="inlineStr">
        <is>
          <t>2026-08-01T21:36</t>
        </is>
      </c>
    </row>
    <row r="25">
      <c r="A25" s="4" t="inlineStr">
        <is>
          <t>7ee11bff</t>
        </is>
      </c>
      <c r="B25" s="4" t="inlineStr">
        <is>
          <t>note</t>
        </is>
      </c>
      <c r="C25" s="4" t="inlineStr">
        <is>
          <t>Daily digest — 2026-08-02</t>
        </is>
      </c>
      <c r="D25" s="4" t="inlineStr">
        <is>
          <t>**Daily Digest** Today's captures were mostly account-related: a pending admin task for QuickBooks under Differentiate Tutoring, plus two Crypto.com notificatio</t>
        </is>
      </c>
      <c r="E25" s="4" t="inlineStr">
        <is>
          <t>open</t>
        </is>
      </c>
      <c r="F25" s="4" t="inlineStr">
        <is>
          <t>system</t>
        </is>
      </c>
      <c r="G25" s="4" t="inlineStr">
        <is>
          <t>digest</t>
        </is>
      </c>
      <c r="H25" s="8" t="inlineStr">
        <is>
          <t>digest</t>
        </is>
      </c>
      <c r="I25" s="4" t="n"/>
      <c r="J25" s="4" t="inlineStr"/>
      <c r="K25" s="4" t="inlineStr"/>
      <c r="L25" s="4" t="n">
        <v>0</v>
      </c>
      <c r="M25" s="4" t="n">
        <v>0</v>
      </c>
      <c r="N25" s="4" t="n">
        <v>1024</v>
      </c>
      <c r="O25" s="4" t="inlineStr"/>
      <c r="P25" s="4" t="inlineStr">
        <is>
          <t>2026-08-02T05:13</t>
        </is>
      </c>
    </row>
    <row r="26">
      <c r="A26" s="4" t="inlineStr">
        <is>
          <t>2d232ad0</t>
        </is>
      </c>
      <c r="B26" s="4" t="inlineStr">
        <is>
          <t>task</t>
        </is>
      </c>
      <c r="C26" s="4" t="inlineStr">
        <is>
          <t>Research chip AI development</t>
        </is>
      </c>
      <c r="D26" s="4" t="inlineStr">
        <is>
          <t>Look at research on chip AI development.</t>
        </is>
      </c>
      <c r="E26" s="4" t="inlineStr">
        <is>
          <t>open</t>
        </is>
      </c>
      <c r="F26" s="4" t="inlineStr">
        <is>
          <t>telegram</t>
        </is>
      </c>
      <c r="G26" s="4" t="inlineStr">
        <is>
          <t>tech</t>
        </is>
      </c>
      <c r="H26" s="4" t="inlineStr"/>
      <c r="I26" s="4" t="n">
        <v>0.92</v>
      </c>
      <c r="J26" s="4" t="inlineStr"/>
      <c r="K26" s="4" t="inlineStr"/>
      <c r="L26" s="4" t="n">
        <v>0</v>
      </c>
      <c r="M26" s="4" t="n">
        <v>0</v>
      </c>
      <c r="N26" s="4" t="n">
        <v>1024</v>
      </c>
      <c r="O26" s="4" t="inlineStr"/>
      <c r="P26" s="4" t="inlineStr">
        <is>
          <t>2026-08-02T21:47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32" customWidth="1" min="3" max="3"/>
    <col width="44" customWidth="1" min="4" max="4"/>
    <col width="14" customWidth="1" min="5" max="5"/>
    <col width="30" customWidth="1" min="6" max="6"/>
  </cols>
  <sheetData>
    <row r="1">
      <c r="A1" s="6" t="inlineStr">
        <is>
          <t>from</t>
        </is>
      </c>
      <c r="B1" s="6" t="inlineStr">
        <is>
          <t>to</t>
        </is>
      </c>
      <c r="C1" s="6" t="inlineStr">
        <is>
          <t>what it ACTUALLY is</t>
        </is>
      </c>
      <c r="D1" s="6" t="inlineStr">
        <is>
          <t>verdict</t>
        </is>
      </c>
      <c r="E1" s="6" t="inlineStr">
        <is>
          <t>KEEP / DROP?</t>
        </is>
      </c>
      <c r="F1" s="6" t="inlineStr">
        <is>
          <t>your note</t>
        </is>
      </c>
    </row>
    <row r="2">
      <c r="A2" s="4" t="inlineStr">
        <is>
          <t>Dani works at V-bank via Manhart</t>
        </is>
      </c>
      <c r="B2" s="4" t="inlineStr">
        <is>
          <t>Beate Manhart emails — father lawsuit review</t>
        </is>
      </c>
      <c r="C2" s="4" t="inlineStr">
        <is>
          <t>legacy gte-small similarity</t>
        </is>
      </c>
      <c r="D2" s="7" t="inlineStr">
        <is>
          <t>PRE-v4 SPACE — near-random, brief says purge</t>
        </is>
      </c>
      <c r="E2" s="9" t="inlineStr"/>
      <c r="F2" s="4" t="inlineStr"/>
    </row>
    <row r="3">
      <c r="A3" s="4" t="inlineStr">
        <is>
          <t>Check with Jake about missing reimbursement</t>
        </is>
      </c>
      <c r="B3" s="4" t="inlineStr">
        <is>
          <t>Send mum new court strategy docs</t>
        </is>
      </c>
      <c r="C3" s="4" t="inlineStr">
        <is>
          <t>same braindump (split siblings)</t>
        </is>
      </c>
      <c r="D3" s="8" t="inlineStr">
        <is>
          <t>PROVENANCE, not meaning — shown as if semantic</t>
        </is>
      </c>
      <c r="E3" s="9" t="inlineStr"/>
      <c r="F3" s="4" t="inlineStr"/>
    </row>
    <row r="4">
      <c r="A4" s="4" t="inlineStr">
        <is>
          <t>Check with Jake about missing reimbursement</t>
        </is>
      </c>
      <c r="B4" s="4" t="inlineStr">
        <is>
          <t>Prep for meeting with Dani and reschedule</t>
        </is>
      </c>
      <c r="C4" s="4" t="inlineStr">
        <is>
          <t>same braindump (split siblings)</t>
        </is>
      </c>
      <c r="D4" s="8" t="inlineStr">
        <is>
          <t>PROVENANCE, not meaning — shown as if semantic</t>
        </is>
      </c>
      <c r="E4" s="9" t="inlineStr"/>
      <c r="F4" s="4" t="inlineStr"/>
    </row>
    <row r="5">
      <c r="A5" s="4" t="inlineStr">
        <is>
          <t>Check with Jake about missing reimbursement</t>
        </is>
      </c>
      <c r="B5" s="4" t="inlineStr">
        <is>
          <t>School assignment submission requirements</t>
        </is>
      </c>
      <c r="C5" s="4" t="inlineStr">
        <is>
          <t>same braindump (split siblings)</t>
        </is>
      </c>
      <c r="D5" s="8" t="inlineStr">
        <is>
          <t>PROVENANCE, not meaning — shown as if semantic</t>
        </is>
      </c>
      <c r="E5" s="9" t="inlineStr"/>
      <c r="F5" s="4" t="inlineStr"/>
    </row>
    <row r="6">
      <c r="A6" s="4" t="inlineStr">
        <is>
          <t>Send mum new court strategy docs</t>
        </is>
      </c>
      <c r="B6" s="4" t="inlineStr">
        <is>
          <t>Check with Jake about missing reimbursement</t>
        </is>
      </c>
      <c r="C6" s="4" t="inlineStr">
        <is>
          <t>same braindump (split siblings)</t>
        </is>
      </c>
      <c r="D6" s="8" t="inlineStr">
        <is>
          <t>PROVENANCE, not meaning — shown as if semantic</t>
        </is>
      </c>
      <c r="E6" s="9" t="inlineStr"/>
      <c r="F6" s="4" t="inlineStr"/>
    </row>
    <row r="7">
      <c r="A7" s="4" t="inlineStr">
        <is>
          <t>Send mum new court strategy docs</t>
        </is>
      </c>
      <c r="B7" s="4" t="inlineStr">
        <is>
          <t>Prep for meeting with Dani and reschedule</t>
        </is>
      </c>
      <c r="C7" s="4" t="inlineStr">
        <is>
          <t>same braindump (split siblings)</t>
        </is>
      </c>
      <c r="D7" s="8" t="inlineStr">
        <is>
          <t>PROVENANCE, not meaning — shown as if semantic</t>
        </is>
      </c>
      <c r="E7" s="9" t="inlineStr"/>
      <c r="F7" s="4" t="inlineStr"/>
    </row>
    <row r="8">
      <c r="A8" s="4" t="inlineStr">
        <is>
          <t>Send mum new court strategy docs</t>
        </is>
      </c>
      <c r="B8" s="4" t="inlineStr">
        <is>
          <t>School assignment submission requirements</t>
        </is>
      </c>
      <c r="C8" s="4" t="inlineStr">
        <is>
          <t>same braindump (split siblings)</t>
        </is>
      </c>
      <c r="D8" s="8" t="inlineStr">
        <is>
          <t>PROVENANCE, not meaning — shown as if semantic</t>
        </is>
      </c>
      <c r="E8" s="9" t="inlineStr"/>
      <c r="F8" s="4" t="inlineStr"/>
    </row>
    <row r="9">
      <c r="A9" s="4" t="inlineStr">
        <is>
          <t>Prep for meeting with Dani and reschedule</t>
        </is>
      </c>
      <c r="B9" s="4" t="inlineStr">
        <is>
          <t>Check with Jake about missing reimbursement</t>
        </is>
      </c>
      <c r="C9" s="4" t="inlineStr">
        <is>
          <t>same braindump (split siblings)</t>
        </is>
      </c>
      <c r="D9" s="8" t="inlineStr">
        <is>
          <t>PROVENANCE, not meaning — shown as if semantic</t>
        </is>
      </c>
      <c r="E9" s="9" t="inlineStr"/>
      <c r="F9" s="4" t="inlineStr"/>
    </row>
    <row r="10">
      <c r="A10" s="4" t="inlineStr">
        <is>
          <t>Prep for meeting with Dani and reschedule</t>
        </is>
      </c>
      <c r="B10" s="4" t="inlineStr">
        <is>
          <t>Send mum new court strategy docs</t>
        </is>
      </c>
      <c r="C10" s="4" t="inlineStr">
        <is>
          <t>same braindump (split siblings)</t>
        </is>
      </c>
      <c r="D10" s="8" t="inlineStr">
        <is>
          <t>PROVENANCE, not meaning — shown as if semantic</t>
        </is>
      </c>
      <c r="E10" s="9" t="inlineStr"/>
      <c r="F10" s="4" t="inlineStr"/>
    </row>
    <row r="11">
      <c r="A11" s="4" t="inlineStr">
        <is>
          <t>Prep for meeting with Dani and reschedule</t>
        </is>
      </c>
      <c r="B11" s="4" t="inlineStr">
        <is>
          <t>School assignment submission requirements</t>
        </is>
      </c>
      <c r="C11" s="4" t="inlineStr">
        <is>
          <t>same braindump (split siblings)</t>
        </is>
      </c>
      <c r="D11" s="8" t="inlineStr">
        <is>
          <t>PROVENANCE, not meaning — shown as if semantic</t>
        </is>
      </c>
      <c r="E11" s="9" t="inlineStr"/>
      <c r="F11" s="4" t="inlineStr"/>
    </row>
    <row r="12">
      <c r="A12" s="4" t="inlineStr">
        <is>
          <t>School assignment submission requirements</t>
        </is>
      </c>
      <c r="B12" s="4" t="inlineStr">
        <is>
          <t>Check with Jake about missing reimbursement</t>
        </is>
      </c>
      <c r="C12" s="4" t="inlineStr">
        <is>
          <t>same braindump (split siblings)</t>
        </is>
      </c>
      <c r="D12" s="8" t="inlineStr">
        <is>
          <t>PROVENANCE, not meaning — shown as if semantic</t>
        </is>
      </c>
      <c r="E12" s="9" t="inlineStr"/>
      <c r="F12" s="4" t="inlineStr"/>
    </row>
    <row r="13">
      <c r="A13" s="4" t="inlineStr">
        <is>
          <t>School assignment submission requirements</t>
        </is>
      </c>
      <c r="B13" s="4" t="inlineStr">
        <is>
          <t>Send mum new court strategy docs</t>
        </is>
      </c>
      <c r="C13" s="4" t="inlineStr">
        <is>
          <t>same braindump (split siblings)</t>
        </is>
      </c>
      <c r="D13" s="8" t="inlineStr">
        <is>
          <t>PROVENANCE, not meaning — shown as if semantic</t>
        </is>
      </c>
      <c r="E13" s="9" t="inlineStr"/>
      <c r="F13" s="4" t="inlineStr"/>
    </row>
    <row r="14">
      <c r="A14" s="4" t="inlineStr">
        <is>
          <t>School assignment submission requirements</t>
        </is>
      </c>
      <c r="B14" s="4" t="inlineStr">
        <is>
          <t>Prep for meeting with Dani and reschedule</t>
        </is>
      </c>
      <c r="C14" s="4" t="inlineStr">
        <is>
          <t>same braindump (split siblings)</t>
        </is>
      </c>
      <c r="D14" s="8" t="inlineStr">
        <is>
          <t>PROVENANCE, not meaning — shown as if semantic</t>
        </is>
      </c>
      <c r="E14" s="9" t="inlineStr"/>
      <c r="F14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6" customWidth="1" min="3" max="3"/>
    <col width="52" customWidth="1" min="4" max="4"/>
    <col width="46" customWidth="1" min="5" max="5"/>
    <col width="22" customWidth="1" min="6" max="6"/>
    <col width="16" customWidth="1" min="7" max="7"/>
  </cols>
  <sheetData>
    <row r="1">
      <c r="A1" s="6" t="inlineStr">
        <is>
          <t>entity string</t>
        </is>
      </c>
      <c r="B1" s="6" t="inlineStr">
        <is>
          <t>kind</t>
        </is>
      </c>
      <c r="C1" s="6" t="inlineStr">
        <is>
          <t>uses</t>
        </is>
      </c>
      <c r="D1" s="6" t="inlineStr">
        <is>
          <t>appears in</t>
        </is>
      </c>
      <c r="E1" s="6" t="inlineStr">
        <is>
          <t>suggested canon / question</t>
        </is>
      </c>
      <c r="F1" s="6" t="inlineStr">
        <is>
          <t>MERGE INTO</t>
        </is>
      </c>
      <c r="G1" s="6" t="inlineStr">
        <is>
          <t>track as person?</t>
        </is>
      </c>
    </row>
    <row r="2">
      <c r="A2" s="4" t="inlineStr">
        <is>
          <t>Anna</t>
        </is>
      </c>
      <c r="B2" s="4" t="inlineStr">
        <is>
          <t>person</t>
        </is>
      </c>
      <c r="C2" s="4" t="n">
        <v>1</v>
      </c>
      <c r="D2" s="4" t="inlineStr">
        <is>
          <t>Sandrine French pastry — weekend visit with Anna</t>
        </is>
      </c>
      <c r="E2" s="8" t="inlineStr">
        <is>
          <t>Anna Shewchenko? — appears in mail as annashew.edu@gmail.com</t>
        </is>
      </c>
      <c r="F2" s="9" t="inlineStr"/>
      <c r="G2" s="9" t="inlineStr"/>
    </row>
    <row r="3">
      <c r="A3" s="4" t="inlineStr">
        <is>
          <t>Beate Manhart</t>
        </is>
      </c>
      <c r="B3" s="4" t="inlineStr">
        <is>
          <t>person</t>
        </is>
      </c>
      <c r="C3" s="4" t="n">
        <v>1</v>
      </c>
      <c r="D3" s="4" t="inlineStr">
        <is>
          <t>Beate Manhart emails — father lawsuit review</t>
        </is>
      </c>
      <c r="E3" s="8" t="inlineStr">
        <is>
          <t>canonical: Beate Manhart (person)</t>
        </is>
      </c>
      <c r="F3" s="9" t="inlineStr"/>
      <c r="G3" s="9" t="inlineStr"/>
    </row>
    <row r="4">
      <c r="A4" s="4" t="inlineStr">
        <is>
          <t>Crypto.com</t>
        </is>
      </c>
      <c r="B4" s="4" t="inlineStr">
        <is>
          <t>org</t>
        </is>
      </c>
      <c r="C4" s="4" t="n">
        <v>2</v>
      </c>
      <c r="D4" s="4" t="inlineStr">
        <is>
          <t>Crypto.com passkey added — iOS sign-in enabled · Crypto.com verification code [code hidden]</t>
        </is>
      </c>
      <c r="E4" s="4" t="inlineStr"/>
      <c r="F4" s="9" t="inlineStr"/>
      <c r="G4" s="9" t="inlineStr"/>
    </row>
    <row r="5">
      <c r="A5" s="4" t="inlineStr">
        <is>
          <t>Dani</t>
        </is>
      </c>
      <c r="B5" s="4" t="inlineStr">
        <is>
          <t>person</t>
        </is>
      </c>
      <c r="C5" s="4" t="n">
        <v>2</v>
      </c>
      <c r="D5" s="4" t="inlineStr">
        <is>
          <t>Dani works at V-bank via Manhart · Prep for meeting with Dani and reschedule</t>
        </is>
      </c>
      <c r="E5" s="8" t="inlineStr">
        <is>
          <t>brief flags 'Dani' vs 'Daniela' — same person?</t>
        </is>
      </c>
      <c r="F5" s="9" t="inlineStr"/>
      <c r="G5" s="9" t="inlineStr"/>
    </row>
    <row r="6">
      <c r="A6" s="4" t="inlineStr">
        <is>
          <t>David Michael Manhart</t>
        </is>
      </c>
      <c r="B6" s="4" t="inlineStr">
        <is>
          <t>person</t>
        </is>
      </c>
      <c r="C6" s="4" t="n">
        <v>1</v>
      </c>
      <c r="D6" s="4" t="inlineStr">
        <is>
          <t>Crypto.com verification code [code hidden]</t>
        </is>
      </c>
      <c r="E6" s="8" t="inlineStr">
        <is>
          <t>the OWNER — should this be an entity at all?</t>
        </is>
      </c>
      <c r="F6" s="9" t="inlineStr"/>
      <c r="G6" s="9" t="inlineStr"/>
    </row>
    <row r="7">
      <c r="A7" s="4" t="inlineStr">
        <is>
          <t>Differentiate Tutoring</t>
        </is>
      </c>
      <c r="B7" s="4" t="inlineStr">
        <is>
          <t>org</t>
        </is>
      </c>
      <c r="C7" s="4" t="n">
        <v>1</v>
      </c>
      <c r="D7" s="4" t="inlineStr">
        <is>
          <t>Update payment details — QuickBooks Differentiate Tutoring</t>
        </is>
      </c>
      <c r="E7" s="4" t="inlineStr"/>
      <c r="F7" s="9" t="inlineStr"/>
      <c r="G7" s="9" t="inlineStr"/>
    </row>
    <row r="8">
      <c r="A8" s="4" t="inlineStr">
        <is>
          <t>Don</t>
        </is>
      </c>
      <c r="B8" s="4" t="inlineStr">
        <is>
          <t>person</t>
        </is>
      </c>
      <c r="C8" s="4" t="n">
        <v>1</v>
      </c>
      <c r="D8" s="4" t="inlineStr">
        <is>
          <t>Message Don about cheque</t>
        </is>
      </c>
      <c r="E8" s="4" t="inlineStr"/>
      <c r="F8" s="9" t="inlineStr"/>
      <c r="G8" s="9" t="inlineStr"/>
    </row>
    <row r="9">
      <c r="A9" s="4" t="inlineStr">
        <is>
          <t>Hoffman</t>
        </is>
      </c>
      <c r="B9" s="4" t="inlineStr">
        <is>
          <t>person</t>
        </is>
      </c>
      <c r="C9" s="4" t="n">
        <v>1</v>
      </c>
      <c r="D9" s="4" t="inlineStr">
        <is>
          <t>Contact Hoffman — Silicon Valley job</t>
        </is>
      </c>
      <c r="E9" s="4" t="inlineStr"/>
      <c r="F9" s="9" t="inlineStr"/>
      <c r="G9" s="9" t="inlineStr"/>
    </row>
    <row r="10">
      <c r="A10" s="4" t="inlineStr">
        <is>
          <t>Interactive Brokers</t>
        </is>
      </c>
      <c r="B10" s="4" t="inlineStr">
        <is>
          <t>org</t>
        </is>
      </c>
      <c r="C10" s="4" t="n">
        <v>1</v>
      </c>
      <c r="D10" s="4" t="inlineStr">
        <is>
          <t>Nano Nuclear Energy Inc. — annual meeting vote deadline</t>
        </is>
      </c>
      <c r="E10" s="4" t="inlineStr"/>
      <c r="F10" s="9" t="inlineStr"/>
      <c r="G10" s="9" t="inlineStr"/>
    </row>
    <row r="11">
      <c r="A11" s="4" t="inlineStr">
        <is>
          <t>Jake</t>
        </is>
      </c>
      <c r="B11" s="4" t="inlineStr">
        <is>
          <t>person</t>
        </is>
      </c>
      <c r="C11" s="4" t="n">
        <v>1</v>
      </c>
      <c r="D11" s="4" t="inlineStr">
        <is>
          <t>Check with Jake about missing reimbursement</t>
        </is>
      </c>
      <c r="E11" s="4" t="inlineStr"/>
      <c r="F11" s="9" t="inlineStr"/>
      <c r="G11" s="9" t="inlineStr"/>
    </row>
    <row r="12">
      <c r="A12" s="4" t="inlineStr">
        <is>
          <t>Manhart Consulting Group</t>
        </is>
      </c>
      <c r="B12" s="4" t="inlineStr">
        <is>
          <t>org</t>
        </is>
      </c>
      <c r="C12" s="4" t="n">
        <v>1</v>
      </c>
      <c r="D12" s="4" t="inlineStr">
        <is>
          <t>Dani works at V-bank via Manhart</t>
        </is>
      </c>
      <c r="E12" s="4" t="inlineStr"/>
      <c r="F12" s="9" t="inlineStr"/>
      <c r="G12" s="9" t="inlineStr"/>
    </row>
    <row r="13">
      <c r="A13" s="4" t="inlineStr">
        <is>
          <t>Mateo</t>
        </is>
      </c>
      <c r="B13" s="4" t="inlineStr">
        <is>
          <t>person</t>
        </is>
      </c>
      <c r="C13" s="4" t="n">
        <v>1</v>
      </c>
      <c r="D13" s="4" t="inlineStr">
        <is>
          <t>Call Mateo on sunday</t>
        </is>
      </c>
      <c r="E13" s="4" t="inlineStr"/>
      <c r="F13" s="9" t="inlineStr"/>
      <c r="G13" s="9" t="inlineStr"/>
    </row>
    <row r="14">
      <c r="A14" s="4" t="inlineStr">
        <is>
          <t>Nano Nuclear Energy Inc.</t>
        </is>
      </c>
      <c r="B14" s="4" t="inlineStr">
        <is>
          <t>org</t>
        </is>
      </c>
      <c r="C14" s="4" t="n">
        <v>1</v>
      </c>
      <c r="D14" s="4" t="inlineStr">
        <is>
          <t>Nano Nuclear Energy Inc. — annual meeting vote deadline</t>
        </is>
      </c>
      <c r="E14" s="4" t="inlineStr"/>
      <c r="F14" s="9" t="inlineStr"/>
      <c r="G14" s="9" t="inlineStr"/>
    </row>
    <row r="15">
      <c r="A15" s="4" t="inlineStr">
        <is>
          <t>Obsidian-X</t>
        </is>
      </c>
      <c r="B15" s="4" t="inlineStr">
        <is>
          <t>other</t>
        </is>
      </c>
      <c r="C15" s="4" t="n">
        <v>1</v>
      </c>
      <c r="D15" s="4" t="inlineStr">
        <is>
          <t>Obsidian-X connection — verify it works</t>
        </is>
      </c>
      <c r="E15" s="8" t="inlineStr">
        <is>
          <t>kind=other — this system itself; entity or noise?</t>
        </is>
      </c>
      <c r="F15" s="9" t="inlineStr"/>
      <c r="G15" s="9" t="inlineStr"/>
    </row>
    <row r="16">
      <c r="A16" s="4" t="inlineStr">
        <is>
          <t>QuickBooks</t>
        </is>
      </c>
      <c r="B16" s="4" t="inlineStr">
        <is>
          <t>org</t>
        </is>
      </c>
      <c r="C16" s="4" t="n">
        <v>1</v>
      </c>
      <c r="D16" s="4" t="inlineStr">
        <is>
          <t>Update payment details — QuickBooks Differentiate Tutoring</t>
        </is>
      </c>
      <c r="E16" s="4" t="inlineStr"/>
      <c r="F16" s="9" t="inlineStr"/>
      <c r="G16" s="9" t="inlineStr"/>
    </row>
    <row r="17">
      <c r="A17" s="4" t="inlineStr">
        <is>
          <t>Sandrine French pastry</t>
        </is>
      </c>
      <c r="B17" s="4" t="inlineStr">
        <is>
          <t>org</t>
        </is>
      </c>
      <c r="C17" s="4" t="n">
        <v>1</v>
      </c>
      <c r="D17" s="4" t="inlineStr">
        <is>
          <t>Sandrine French pastry — weekend visit with Anna</t>
        </is>
      </c>
      <c r="E17" s="8" t="inlineStr">
        <is>
          <t>kind=org, but reads like a place/bakery</t>
        </is>
      </c>
      <c r="F17" s="9" t="inlineStr"/>
      <c r="G17" s="9" t="inlineStr"/>
    </row>
    <row r="18">
      <c r="A18" s="4" t="inlineStr">
        <is>
          <t>Silicon Valley</t>
        </is>
      </c>
      <c r="B18" s="4" t="inlineStr">
        <is>
          <t>place</t>
        </is>
      </c>
      <c r="C18" s="4" t="n">
        <v>1</v>
      </c>
      <c r="D18" s="4" t="inlineStr">
        <is>
          <t>Contact Hoffman — Silicon Valley job</t>
        </is>
      </c>
      <c r="E18" s="4" t="inlineStr"/>
      <c r="F18" s="9" t="inlineStr"/>
      <c r="G18" s="9" t="inlineStr"/>
    </row>
    <row r="19">
      <c r="A19" s="4" t="inlineStr">
        <is>
          <t>V-bank</t>
        </is>
      </c>
      <c r="B19" s="4" t="inlineStr">
        <is>
          <t>org</t>
        </is>
      </c>
      <c r="C19" s="4" t="n">
        <v>1</v>
      </c>
      <c r="D19" s="4" t="inlineStr">
        <is>
          <t>Dani works at V-bank via Manhart</t>
        </is>
      </c>
      <c r="E19" s="8" t="inlineStr">
        <is>
          <t>canonical casing: V-Bank (matches mail_vip domain v-bank.com)</t>
        </is>
      </c>
      <c r="F19" s="9" t="inlineStr"/>
      <c r="G19" s="9" t="inlineStr"/>
    </row>
    <row r="20">
      <c r="A20" s="4" t="inlineStr">
        <is>
          <t>lakeshore</t>
        </is>
      </c>
      <c r="B20" s="4" t="inlineStr">
        <is>
          <t>place</t>
        </is>
      </c>
      <c r="C20" s="4" t="n">
        <v>1</v>
      </c>
      <c r="D20" s="4" t="inlineStr">
        <is>
          <t>Sandrine French pastry — weekend visit with Anna</t>
        </is>
      </c>
      <c r="E20" s="8" t="inlineStr">
        <is>
          <t>lowercase place — canonicalise?</t>
        </is>
      </c>
      <c r="F20" s="9" t="inlineStr"/>
      <c r="G20" s="9" t="inlineStr"/>
    </row>
    <row r="21">
      <c r="A21" s="4" t="inlineStr">
        <is>
          <t>mum</t>
        </is>
      </c>
      <c r="B21" s="4" t="inlineStr">
        <is>
          <t>person</t>
        </is>
      </c>
      <c r="C21" s="4" t="n">
        <v>1</v>
      </c>
      <c r="D21" s="4" t="inlineStr">
        <is>
          <t>Send mum new court strategy docs</t>
        </is>
      </c>
      <c r="E21" s="8" t="inlineStr">
        <is>
          <t>Beate Manhart — same person (owner's mother)</t>
        </is>
      </c>
      <c r="F21" s="9" t="inlineStr"/>
      <c r="G21" s="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24" customWidth="1" min="3" max="3"/>
    <col width="24" customWidth="1" min="4" max="4"/>
    <col width="34" customWidth="1" min="5" max="5"/>
  </cols>
  <sheetData>
    <row r="1">
      <c r="A1" s="6" t="inlineStr">
        <is>
          <t>tag</t>
        </is>
      </c>
      <c r="B1" s="6" t="inlineStr">
        <is>
          <t>uses</t>
        </is>
      </c>
      <c r="C1" s="6" t="inlineStr">
        <is>
          <t>status</t>
        </is>
      </c>
      <c r="D1" s="6" t="inlineStr">
        <is>
          <t>KEEP / DROP / RENAME</t>
        </is>
      </c>
      <c r="E1" s="6" t="inlineStr">
        <is>
          <t>your note</t>
        </is>
      </c>
    </row>
    <row r="2">
      <c r="A2" s="4" t="inlineStr">
        <is>
          <t>school</t>
        </is>
      </c>
      <c r="B2" s="4" t="n">
        <v>1</v>
      </c>
      <c r="C2" s="4" t="inlineStr">
        <is>
          <t>in taxonomy</t>
        </is>
      </c>
      <c r="D2" s="9" t="inlineStr"/>
      <c r="E2" s="4" t="inlineStr"/>
    </row>
    <row r="3">
      <c r="A3" s="4" t="inlineStr">
        <is>
          <t>university</t>
        </is>
      </c>
      <c r="B3" s="4" t="n">
        <v>0</v>
      </c>
      <c r="C3" s="4" t="inlineStr">
        <is>
          <t>in taxonomy</t>
        </is>
      </c>
      <c r="D3" s="9" t="inlineStr"/>
      <c r="E3" s="4" t="inlineStr"/>
    </row>
    <row r="4">
      <c r="A4" s="4" t="inlineStr">
        <is>
          <t>learning</t>
        </is>
      </c>
      <c r="B4" s="4" t="n">
        <v>0</v>
      </c>
      <c r="C4" s="4" t="inlineStr">
        <is>
          <t>in taxonomy</t>
        </is>
      </c>
      <c r="D4" s="9" t="inlineStr"/>
      <c r="E4" s="4" t="inlineStr"/>
    </row>
    <row r="5">
      <c r="A5" s="4" t="inlineStr">
        <is>
          <t>business</t>
        </is>
      </c>
      <c r="B5" s="4" t="n">
        <v>2</v>
      </c>
      <c r="C5" s="4" t="inlineStr">
        <is>
          <t>in taxonomy</t>
        </is>
      </c>
      <c r="D5" s="9" t="inlineStr"/>
      <c r="E5" s="4" t="inlineStr"/>
    </row>
    <row r="6">
      <c r="A6" s="4" t="inlineStr">
        <is>
          <t>marketing</t>
        </is>
      </c>
      <c r="B6" s="4" t="n">
        <v>0</v>
      </c>
      <c r="C6" s="4" t="inlineStr">
        <is>
          <t>in taxonomy</t>
        </is>
      </c>
      <c r="D6" s="9" t="inlineStr"/>
      <c r="E6" s="4" t="inlineStr"/>
    </row>
    <row r="7">
      <c r="A7" s="4" t="inlineStr">
        <is>
          <t>career</t>
        </is>
      </c>
      <c r="B7" s="4" t="n">
        <v>1</v>
      </c>
      <c r="C7" s="4" t="inlineStr">
        <is>
          <t>in taxonomy</t>
        </is>
      </c>
      <c r="D7" s="9" t="inlineStr"/>
      <c r="E7" s="4" t="inlineStr"/>
    </row>
    <row r="8">
      <c r="A8" s="4" t="inlineStr">
        <is>
          <t>finance</t>
        </is>
      </c>
      <c r="B8" s="4" t="n">
        <v>2</v>
      </c>
      <c r="C8" s="4" t="inlineStr">
        <is>
          <t>in taxonomy</t>
        </is>
      </c>
      <c r="D8" s="9" t="inlineStr"/>
      <c r="E8" s="4" t="inlineStr"/>
    </row>
    <row r="9">
      <c r="A9" s="4" t="inlineStr">
        <is>
          <t>investing</t>
        </is>
      </c>
      <c r="B9" s="4" t="n">
        <v>1</v>
      </c>
      <c r="C9" s="4" t="inlineStr">
        <is>
          <t>in taxonomy</t>
        </is>
      </c>
      <c r="D9" s="9" t="inlineStr"/>
      <c r="E9" s="4" t="inlineStr"/>
    </row>
    <row r="10">
      <c r="A10" s="4" t="inlineStr">
        <is>
          <t>legal</t>
        </is>
      </c>
      <c r="B10" s="4" t="n">
        <v>2</v>
      </c>
      <c r="C10" s="4" t="inlineStr">
        <is>
          <t>in taxonomy</t>
        </is>
      </c>
      <c r="D10" s="9" t="inlineStr"/>
      <c r="E10" s="4" t="inlineStr"/>
    </row>
    <row r="11">
      <c r="A11" s="4" t="inlineStr">
        <is>
          <t>admin</t>
        </is>
      </c>
      <c r="B11" s="4" t="n">
        <v>1</v>
      </c>
      <c r="C11" s="4" t="inlineStr">
        <is>
          <t>in taxonomy</t>
        </is>
      </c>
      <c r="D11" s="9" t="inlineStr"/>
      <c r="E11" s="4" t="inlineStr"/>
    </row>
    <row r="12">
      <c r="A12" s="4" t="inlineStr">
        <is>
          <t>health</t>
        </is>
      </c>
      <c r="B12" s="4" t="n">
        <v>0</v>
      </c>
      <c r="C12" s="4" t="inlineStr">
        <is>
          <t>in taxonomy</t>
        </is>
      </c>
      <c r="D12" s="9" t="inlineStr"/>
      <c r="E12" s="4" t="inlineStr"/>
    </row>
    <row r="13">
      <c r="A13" s="4" t="inlineStr">
        <is>
          <t>fitness</t>
        </is>
      </c>
      <c r="B13" s="4" t="n">
        <v>0</v>
      </c>
      <c r="C13" s="4" t="inlineStr">
        <is>
          <t>in taxonomy</t>
        </is>
      </c>
      <c r="D13" s="9" t="inlineStr"/>
      <c r="E13" s="4" t="inlineStr"/>
    </row>
    <row r="14">
      <c r="A14" s="4" t="inlineStr">
        <is>
          <t>food</t>
        </is>
      </c>
      <c r="B14" s="4" t="n">
        <v>5</v>
      </c>
      <c r="C14" s="4" t="inlineStr">
        <is>
          <t>in taxonomy</t>
        </is>
      </c>
      <c r="D14" s="9" t="inlineStr"/>
      <c r="E14" s="4" t="inlineStr"/>
    </row>
    <row r="15">
      <c r="A15" s="4" t="inlineStr">
        <is>
          <t>family</t>
        </is>
      </c>
      <c r="B15" s="4" t="n">
        <v>2</v>
      </c>
      <c r="C15" s="4" t="inlineStr">
        <is>
          <t>in taxonomy</t>
        </is>
      </c>
      <c r="D15" s="9" t="inlineStr"/>
      <c r="E15" s="4" t="inlineStr"/>
    </row>
    <row r="16">
      <c r="A16" s="4" t="inlineStr">
        <is>
          <t>people</t>
        </is>
      </c>
      <c r="B16" s="4" t="n">
        <v>4</v>
      </c>
      <c r="C16" s="4" t="inlineStr">
        <is>
          <t>in taxonomy</t>
        </is>
      </c>
      <c r="D16" s="9" t="inlineStr"/>
      <c r="E16" s="4" t="inlineStr"/>
    </row>
    <row r="17">
      <c r="A17" s="4" t="inlineStr">
        <is>
          <t>travel</t>
        </is>
      </c>
      <c r="B17" s="4" t="n">
        <v>0</v>
      </c>
      <c r="C17" s="4" t="inlineStr">
        <is>
          <t>in taxonomy</t>
        </is>
      </c>
      <c r="D17" s="9" t="inlineStr"/>
      <c r="E17" s="4" t="inlineStr"/>
    </row>
    <row r="18">
      <c r="A18" s="4" t="inlineStr">
        <is>
          <t>household</t>
        </is>
      </c>
      <c r="B18" s="4" t="n">
        <v>0</v>
      </c>
      <c r="C18" s="4" t="inlineStr">
        <is>
          <t>in taxonomy</t>
        </is>
      </c>
      <c r="D18" s="9" t="inlineStr"/>
      <c r="E18" s="4" t="inlineStr"/>
    </row>
    <row r="19">
      <c r="A19" s="4" t="inlineStr">
        <is>
          <t>real-estate</t>
        </is>
      </c>
      <c r="B19" s="4" t="n">
        <v>0</v>
      </c>
      <c r="C19" s="4" t="inlineStr">
        <is>
          <t>in taxonomy</t>
        </is>
      </c>
      <c r="D19" s="9" t="inlineStr"/>
      <c r="E19" s="4" t="inlineStr"/>
    </row>
    <row r="20">
      <c r="A20" s="4" t="inlineStr">
        <is>
          <t>vehicle</t>
        </is>
      </c>
      <c r="B20" s="4" t="n">
        <v>0</v>
      </c>
      <c r="C20" s="4" t="inlineStr">
        <is>
          <t>in taxonomy</t>
        </is>
      </c>
      <c r="D20" s="9" t="inlineStr"/>
      <c r="E20" s="4" t="inlineStr"/>
    </row>
    <row r="21">
      <c r="A21" s="4" t="inlineStr">
        <is>
          <t>tech</t>
        </is>
      </c>
      <c r="B21" s="4" t="n">
        <v>4</v>
      </c>
      <c r="C21" s="4" t="inlineStr">
        <is>
          <t>in taxonomy</t>
        </is>
      </c>
      <c r="D21" s="9" t="inlineStr"/>
      <c r="E21" s="4" t="inlineStr"/>
    </row>
    <row r="22">
      <c r="A22" s="4" t="inlineStr">
        <is>
          <t>projects</t>
        </is>
      </c>
      <c r="B22" s="4" t="n">
        <v>0</v>
      </c>
      <c r="C22" s="4" t="inlineStr">
        <is>
          <t>in taxonomy</t>
        </is>
      </c>
      <c r="D22" s="9" t="inlineStr"/>
      <c r="E22" s="4" t="inlineStr"/>
    </row>
    <row r="23">
      <c r="A23" s="4" t="inlineStr">
        <is>
          <t>creative</t>
        </is>
      </c>
      <c r="B23" s="4" t="n">
        <v>0</v>
      </c>
      <c r="C23" s="4" t="inlineStr">
        <is>
          <t>in taxonomy</t>
        </is>
      </c>
      <c r="D23" s="9" t="inlineStr"/>
      <c r="E23" s="4" t="inlineStr"/>
    </row>
    <row r="24">
      <c r="A24" s="4" t="inlineStr">
        <is>
          <t>writing</t>
        </is>
      </c>
      <c r="B24" s="4" t="n">
        <v>0</v>
      </c>
      <c r="C24" s="4" t="inlineStr">
        <is>
          <t>in taxonomy</t>
        </is>
      </c>
      <c r="D24" s="9" t="inlineStr"/>
      <c r="E24" s="4" t="inlineStr"/>
    </row>
    <row r="25">
      <c r="A25" s="4" t="inlineStr">
        <is>
          <t>media</t>
        </is>
      </c>
      <c r="B25" s="4" t="n">
        <v>0</v>
      </c>
      <c r="C25" s="4" t="inlineStr">
        <is>
          <t>in taxonomy</t>
        </is>
      </c>
      <c r="D25" s="9" t="inlineStr"/>
      <c r="E25" s="4" t="inlineStr"/>
    </row>
    <row r="26">
      <c r="A26" s="4" t="inlineStr">
        <is>
          <t>events</t>
        </is>
      </c>
      <c r="B26" s="4" t="n">
        <v>1</v>
      </c>
      <c r="C26" s="4" t="inlineStr">
        <is>
          <t>in taxonomy</t>
        </is>
      </c>
      <c r="D26" s="9" t="inlineStr"/>
      <c r="E26" s="4" t="inlineStr"/>
    </row>
    <row r="27">
      <c r="A27" s="4" t="inlineStr">
        <is>
          <t>consulting</t>
        </is>
      </c>
      <c r="B27" s="4" t="n">
        <v>1</v>
      </c>
      <c r="C27" s="7" t="inlineStr">
        <is>
          <t>OFF-TAXONOMY (invented)</t>
        </is>
      </c>
      <c r="D27" s="9" t="inlineStr"/>
      <c r="E27" s="4" t="inlineStr"/>
    </row>
    <row r="28">
      <c r="A28" s="4" t="inlineStr">
        <is>
          <t>cryptocom</t>
        </is>
      </c>
      <c r="B28" s="4" t="n">
        <v>2</v>
      </c>
      <c r="C28" s="7" t="inlineStr">
        <is>
          <t>OFF-TAXONOMY (invented)</t>
        </is>
      </c>
      <c r="D28" s="9" t="inlineStr"/>
      <c r="E28" s="4" t="inlineStr"/>
    </row>
    <row r="29">
      <c r="A29" s="4" t="inlineStr">
        <is>
          <t>digest</t>
        </is>
      </c>
      <c r="B29" s="4" t="n">
        <v>3</v>
      </c>
      <c r="C29" s="7" t="inlineStr">
        <is>
          <t>OFF-TAXONOMY (invented)</t>
        </is>
      </c>
      <c r="D29" s="9" t="inlineStr"/>
      <c r="E29" s="4" t="inlineStr"/>
    </row>
    <row r="30">
      <c r="A30" s="4" t="inlineStr">
        <is>
          <t>nano-nuclear-energy</t>
        </is>
      </c>
      <c r="B30" s="4" t="n">
        <v>1</v>
      </c>
      <c r="C30" s="7" t="inlineStr">
        <is>
          <t>OFF-TAXONOMY (invented)</t>
        </is>
      </c>
      <c r="D30" s="9" t="inlineStr"/>
      <c r="E30" s="4" t="inlineStr"/>
    </row>
    <row r="31">
      <c r="A31" s="4" t="inlineStr">
        <is>
          <t>private</t>
        </is>
      </c>
      <c r="B31" s="4" t="n">
        <v>1</v>
      </c>
      <c r="C31" s="7" t="inlineStr">
        <is>
          <t>OFF-TAXONOMY (invented)</t>
        </is>
      </c>
      <c r="D31" s="9" t="inlineStr"/>
      <c r="E31" s="4" t="inlineStr"/>
    </row>
    <row r="32">
      <c r="A32" s="4" t="inlineStr">
        <is>
          <t>shopping</t>
        </is>
      </c>
      <c r="B32" s="4" t="n">
        <v>1</v>
      </c>
      <c r="C32" s="7" t="inlineStr">
        <is>
          <t>OFF-TAXONOMY (invented)</t>
        </is>
      </c>
      <c r="D32" s="9" t="inlineStr"/>
      <c r="E32" s="4" t="inlineStr"/>
    </row>
    <row r="33">
      <c r="A33" s="4" t="inlineStr">
        <is>
          <t>work</t>
        </is>
      </c>
      <c r="B33" s="4" t="n">
        <v>1</v>
      </c>
      <c r="C33" s="7" t="inlineStr">
        <is>
          <t>OFF-TAXONOMY (invented)</t>
        </is>
      </c>
      <c r="D33" s="9" t="inlineStr"/>
      <c r="E33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2026-08-02T22:30:34Z</dcterms:created>
  <dcterms:modified xmlns:dcterms="http://purl.org/dc/terms/" xmlns:xsi="http://www.w3.org/2001/XMLSchema-instance" xsi:type="dcterms:W3CDTF">2026-08-02T22:30:34Z</dcterms:modified>
</cp:coreProperties>
</file>